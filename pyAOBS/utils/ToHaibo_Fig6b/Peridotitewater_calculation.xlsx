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anjun/Documents/Imperial_PhD/Project_related/TOMO2D/TOMO2D_line23/makefigure/Data/lithology_cat/Inv2Test6/NC_revision/fracture_model/ToHaibo/"/>
    </mc:Choice>
  </mc:AlternateContent>
  <xr:revisionPtr revIDLastSave="0" documentId="13_ncr:1_{9E795983-D769-CB4B-BAB9-8C75978F931E}" xr6:coauthVersionLast="47" xr6:coauthVersionMax="47" xr10:uidLastSave="{00000000-0000-0000-0000-000000000000}"/>
  <bookViews>
    <workbookView xWindow="8760" yWindow="4800" windowWidth="18640" windowHeight="16940" xr2:uid="{375E66E6-7543-B84D-96E7-CFBC6E81CB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C10" i="1"/>
  <c r="C11" i="1"/>
  <c r="B10" i="1"/>
  <c r="B2" i="1"/>
  <c r="C3" i="1" l="1"/>
  <c r="G2" i="1"/>
  <c r="G10" i="1"/>
  <c r="G3" i="1"/>
  <c r="G4" i="1"/>
  <c r="G5" i="1"/>
  <c r="G6" i="1"/>
  <c r="G7" i="1"/>
  <c r="G8" i="1"/>
  <c r="G9" i="1"/>
  <c r="G11" i="1"/>
  <c r="B3" i="1" l="1"/>
  <c r="B4" i="1"/>
  <c r="B5" i="1"/>
  <c r="B6" i="1"/>
  <c r="B7" i="1"/>
  <c r="B8" i="1"/>
  <c r="B9" i="1"/>
  <c r="C4" i="1"/>
  <c r="C5" i="1" l="1"/>
  <c r="C9" i="1"/>
  <c r="C8" i="1"/>
  <c r="C7" i="1"/>
  <c r="C6" i="1"/>
</calcChain>
</file>

<file path=xl/sharedStrings.xml><?xml version="1.0" encoding="utf-8"?>
<sst xmlns="http://schemas.openxmlformats.org/spreadsheetml/2006/main" count="3" uniqueCount="3">
  <si>
    <t>fractional porosity</t>
  </si>
  <si>
    <t>water weight percent</t>
  </si>
  <si>
    <t>regional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</si>
</sst>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10E76-BF9B-BA46-94AA-A945D84D6F4F}">
  <dimension ref="A1:G31"/>
  <sheetViews>
    <sheetView tabSelected="1" zoomScale="85" workbookViewId="0">
      <selection activeCell="C25" sqref="C25"/>
    </sheetView>
  </sheetViews>
  <sheetFormatPr baseColWidth="10" defaultRowHeight="16" x14ac:dyDescent="0.2"/>
  <cols>
    <col min="1" max="1" width="17.5" customWidth="1"/>
    <col min="2" max="2" width="20.5" customWidth="1"/>
    <col min="3" max="3" width="21.6640625" customWidth="1"/>
    <col min="5" max="5" width="25" customWidth="1"/>
  </cols>
  <sheetData>
    <row r="1" spans="1:7" x14ac:dyDescent="0.2">
      <c r="A1" t="s">
        <v>0</v>
      </c>
      <c r="B1" t="s">
        <v>1</v>
      </c>
      <c r="C1" t="s">
        <v>2</v>
      </c>
    </row>
    <row r="2" spans="1:7" x14ac:dyDescent="0.2">
      <c r="A2">
        <v>2.0000000000000001E-4</v>
      </c>
      <c r="B2">
        <f>100*(1.03*A2)/((1-A2)*3.31+1.03*A2)</f>
        <v>6.224422458199679E-3</v>
      </c>
      <c r="C2">
        <v>6.993441916816878E-3</v>
      </c>
      <c r="E2" s="1">
        <v>6.993441916816878E-3</v>
      </c>
      <c r="G2" s="1">
        <f>A2*100</f>
        <v>0.02</v>
      </c>
    </row>
    <row r="3" spans="1:7" x14ac:dyDescent="0.2">
      <c r="A3">
        <v>2.5000000000000001E-3</v>
      </c>
      <c r="B3">
        <f t="shared" ref="B3:B9" si="0">100*(1.03*A3)/((1-A3)*3.31+1.03*A3)</f>
        <v>7.7928759495203212E-2</v>
      </c>
      <c r="C3">
        <f>AVERAGE(B2:B3)</f>
        <v>4.2076590976701446E-2</v>
      </c>
      <c r="E3" s="1">
        <v>4.2076590976701446E-2</v>
      </c>
      <c r="G3" s="1">
        <f t="shared" ref="G3:G11" si="1">A3*100</f>
        <v>0.25</v>
      </c>
    </row>
    <row r="4" spans="1:7" x14ac:dyDescent="0.2">
      <c r="A4">
        <v>6.1999999999999998E-3</v>
      </c>
      <c r="B4">
        <f t="shared" si="0"/>
        <v>0.19375799486872033</v>
      </c>
      <c r="C4">
        <f t="shared" ref="C4:C9" si="2">AVERAGE(B3:B4)</f>
        <v>0.13584337718196177</v>
      </c>
      <c r="E4" s="1">
        <v>0.13584337718196177</v>
      </c>
      <c r="G4" s="1">
        <f t="shared" si="1"/>
        <v>0.62</v>
      </c>
    </row>
    <row r="5" spans="1:7" x14ac:dyDescent="0.2">
      <c r="A5">
        <v>2.2200000000000001E-2</v>
      </c>
      <c r="B5">
        <f t="shared" si="0"/>
        <v>0.70154360455840725</v>
      </c>
      <c r="C5">
        <f t="shared" si="2"/>
        <v>0.44765079971356381</v>
      </c>
      <c r="E5" s="1">
        <v>0.44765079971356381</v>
      </c>
      <c r="G5" s="1">
        <f t="shared" si="1"/>
        <v>2.2200000000000002</v>
      </c>
    </row>
    <row r="6" spans="1:7" x14ac:dyDescent="0.2">
      <c r="A6">
        <v>3.3700000000000001E-2</v>
      </c>
      <c r="B6">
        <f t="shared" si="0"/>
        <v>1.0735923077208578</v>
      </c>
      <c r="C6">
        <f t="shared" si="2"/>
        <v>0.88756795613963257</v>
      </c>
      <c r="E6" s="1">
        <v>0.88756795613963257</v>
      </c>
      <c r="G6" s="1">
        <f t="shared" si="1"/>
        <v>3.37</v>
      </c>
    </row>
    <row r="7" spans="1:7" x14ac:dyDescent="0.2">
      <c r="A7">
        <v>5.6899999999999999E-2</v>
      </c>
      <c r="B7">
        <f t="shared" si="0"/>
        <v>1.8428321135199925</v>
      </c>
      <c r="C7">
        <f t="shared" si="2"/>
        <v>1.4582122106204252</v>
      </c>
      <c r="E7" s="1">
        <v>1.4582122106204252</v>
      </c>
      <c r="G7" s="1">
        <f t="shared" si="1"/>
        <v>5.6899999999999995</v>
      </c>
    </row>
    <row r="8" spans="1:7" x14ac:dyDescent="0.2">
      <c r="A8">
        <v>8.0799999999999997E-2</v>
      </c>
      <c r="B8">
        <f t="shared" si="0"/>
        <v>2.6625068462999266</v>
      </c>
      <c r="C8">
        <f t="shared" si="2"/>
        <v>2.2526694799099598</v>
      </c>
      <c r="E8" s="1">
        <v>2.2526694799099598</v>
      </c>
      <c r="G8" s="1">
        <f t="shared" si="1"/>
        <v>8.08</v>
      </c>
    </row>
    <row r="9" spans="1:7" x14ac:dyDescent="0.2">
      <c r="A9">
        <v>0.12509999999999999</v>
      </c>
      <c r="B9">
        <f t="shared" si="0"/>
        <v>4.2599243843833516</v>
      </c>
      <c r="C9">
        <f t="shared" si="2"/>
        <v>3.4612156153416391</v>
      </c>
      <c r="E9" s="1">
        <v>3.4612156153416391</v>
      </c>
      <c r="G9" s="1">
        <f t="shared" si="1"/>
        <v>12.509999999999998</v>
      </c>
    </row>
    <row r="10" spans="1:7" x14ac:dyDescent="0.2">
      <c r="A10">
        <v>0.18479999999999999</v>
      </c>
      <c r="B10">
        <f>100*(1.03*A10)/((1-A10)*3.31+1.03*A10)</f>
        <v>6.5893619731806066</v>
      </c>
      <c r="C10">
        <f>AVERAGE(B9:B10)</f>
        <v>5.4246431787819791</v>
      </c>
      <c r="E10" s="1">
        <v>5.4246431787819791</v>
      </c>
      <c r="G10" s="1">
        <f>A10*100</f>
        <v>18.48</v>
      </c>
    </row>
    <row r="11" spans="1:7" x14ac:dyDescent="0.2">
      <c r="A11">
        <v>0.27550000000000002</v>
      </c>
      <c r="B11">
        <f>100*(1.03*A11)/((1-A11)*3.31+1.03*A11)</f>
        <v>10.58090280626133</v>
      </c>
      <c r="C11">
        <f>AVERAGE(B10:B11)</f>
        <v>8.5851323897209681</v>
      </c>
      <c r="E11" s="1">
        <v>8.5851323897209681</v>
      </c>
      <c r="G11" s="1">
        <f t="shared" si="1"/>
        <v>27.55</v>
      </c>
    </row>
    <row r="18" spans="3:3" x14ac:dyDescent="0.2">
      <c r="C18" s="1"/>
    </row>
    <row r="19" spans="3:3" x14ac:dyDescent="0.2">
      <c r="C19" s="1"/>
    </row>
    <row r="20" spans="3:3" x14ac:dyDescent="0.2">
      <c r="C20" s="1"/>
    </row>
    <row r="21" spans="3:3" x14ac:dyDescent="0.2">
      <c r="C21" s="1"/>
    </row>
    <row r="22" spans="3:3" x14ac:dyDescent="0.2">
      <c r="C22" s="1"/>
    </row>
    <row r="23" spans="3:3" x14ac:dyDescent="0.2">
      <c r="C23" s="1"/>
    </row>
    <row r="24" spans="3:3" x14ac:dyDescent="0.2">
      <c r="C24" s="1"/>
    </row>
    <row r="25" spans="3:3" x14ac:dyDescent="0.2">
      <c r="C25" s="1"/>
    </row>
    <row r="26" spans="3:3" x14ac:dyDescent="0.2">
      <c r="C26" s="1"/>
    </row>
    <row r="27" spans="3:3" x14ac:dyDescent="0.2">
      <c r="C27" s="1"/>
    </row>
    <row r="28" spans="3:3" x14ac:dyDescent="0.2">
      <c r="C28" s="1"/>
    </row>
    <row r="29" spans="3:3" x14ac:dyDescent="0.2">
      <c r="C29" s="1"/>
    </row>
    <row r="30" spans="3:3" x14ac:dyDescent="0.2">
      <c r="C30" s="1"/>
    </row>
    <row r="31" spans="3:3" x14ac:dyDescent="0.2">
      <c r="C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Lianjun</dc:creator>
  <cp:lastModifiedBy>Li, Lianjun</cp:lastModifiedBy>
  <dcterms:created xsi:type="dcterms:W3CDTF">2025-04-10T13:59:28Z</dcterms:created>
  <dcterms:modified xsi:type="dcterms:W3CDTF">2025-12-08T09:38:35Z</dcterms:modified>
</cp:coreProperties>
</file>